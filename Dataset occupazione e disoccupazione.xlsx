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ia/Desktop/"/>
    </mc:Choice>
  </mc:AlternateContent>
  <xr:revisionPtr revIDLastSave="0" documentId="8_{4BDC9F95-AB7E-9046-8160-CB65F93009C0}" xr6:coauthVersionLast="47" xr6:coauthVersionMax="47" xr10:uidLastSave="{00000000-0000-0000-0000-000000000000}"/>
  <bookViews>
    <workbookView xWindow="0" yWindow="680" windowWidth="34200" windowHeight="21460" xr2:uid="{E25A5D66-9AC2-7F47-9AC0-CC0A360DD8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33" i="1" l="1"/>
  <c r="AF33" i="1"/>
  <c r="AE33" i="1"/>
  <c r="X33" i="1"/>
  <c r="W33" i="1"/>
  <c r="V33" i="1"/>
  <c r="O33" i="1"/>
  <c r="N33" i="1"/>
  <c r="M33" i="1"/>
  <c r="L33" i="1"/>
  <c r="K33" i="1"/>
  <c r="J33" i="1"/>
  <c r="AG31" i="1"/>
  <c r="AF31" i="1"/>
  <c r="AE31" i="1"/>
  <c r="X31" i="1"/>
  <c r="W31" i="1"/>
  <c r="V31" i="1"/>
  <c r="O31" i="1"/>
  <c r="N31" i="1"/>
  <c r="M31" i="1"/>
  <c r="L31" i="1"/>
  <c r="K31" i="1"/>
  <c r="J31" i="1"/>
  <c r="AG30" i="1"/>
  <c r="AF30" i="1"/>
  <c r="AE30" i="1"/>
  <c r="X30" i="1"/>
  <c r="W30" i="1"/>
  <c r="V30" i="1"/>
  <c r="O30" i="1"/>
  <c r="N30" i="1"/>
  <c r="M30" i="1"/>
  <c r="L30" i="1"/>
  <c r="K30" i="1"/>
  <c r="J30" i="1"/>
  <c r="AG29" i="1"/>
  <c r="AF29" i="1"/>
  <c r="AE29" i="1"/>
  <c r="X29" i="1"/>
  <c r="W29" i="1"/>
  <c r="V29" i="1"/>
  <c r="O29" i="1"/>
  <c r="N29" i="1"/>
  <c r="M29" i="1"/>
  <c r="L29" i="1"/>
  <c r="K29" i="1"/>
  <c r="J29" i="1"/>
  <c r="AG27" i="1"/>
  <c r="AF27" i="1"/>
  <c r="AE27" i="1"/>
  <c r="X27" i="1"/>
  <c r="W27" i="1"/>
  <c r="V27" i="1"/>
  <c r="O27" i="1"/>
  <c r="N27" i="1"/>
  <c r="M27" i="1"/>
  <c r="L27" i="1"/>
  <c r="K27" i="1"/>
  <c r="J27" i="1"/>
  <c r="AG26" i="1"/>
  <c r="AF26" i="1"/>
  <c r="AE26" i="1"/>
  <c r="X26" i="1"/>
  <c r="W26" i="1"/>
  <c r="V26" i="1"/>
  <c r="O26" i="1"/>
  <c r="N26" i="1"/>
  <c r="M26" i="1"/>
  <c r="L26" i="1"/>
  <c r="K26" i="1"/>
  <c r="J26" i="1"/>
  <c r="AG23" i="1"/>
  <c r="AF23" i="1"/>
  <c r="AE23" i="1"/>
  <c r="X23" i="1"/>
  <c r="W23" i="1"/>
  <c r="V23" i="1"/>
  <c r="O23" i="1"/>
  <c r="N23" i="1"/>
  <c r="M23" i="1"/>
  <c r="L23" i="1"/>
  <c r="K23" i="1"/>
  <c r="J23" i="1"/>
  <c r="AG21" i="1"/>
  <c r="AF21" i="1"/>
  <c r="AE21" i="1"/>
  <c r="X21" i="1"/>
  <c r="W21" i="1"/>
  <c r="V21" i="1"/>
  <c r="O21" i="1"/>
  <c r="N21" i="1"/>
  <c r="M21" i="1"/>
  <c r="L21" i="1"/>
  <c r="K21" i="1"/>
  <c r="J21" i="1"/>
  <c r="AG20" i="1"/>
  <c r="AF20" i="1"/>
  <c r="AE20" i="1"/>
  <c r="X20" i="1"/>
  <c r="W20" i="1"/>
  <c r="V20" i="1"/>
  <c r="O20" i="1"/>
  <c r="N20" i="1"/>
  <c r="M20" i="1"/>
  <c r="L20" i="1"/>
  <c r="K20" i="1"/>
  <c r="J20" i="1"/>
  <c r="AG19" i="1"/>
  <c r="AF19" i="1"/>
  <c r="AE19" i="1"/>
  <c r="X19" i="1"/>
  <c r="W19" i="1"/>
  <c r="V19" i="1"/>
  <c r="O19" i="1"/>
  <c r="N19" i="1"/>
  <c r="M19" i="1"/>
  <c r="L19" i="1"/>
  <c r="K19" i="1"/>
  <c r="J19" i="1"/>
  <c r="AG17" i="1"/>
  <c r="AF17" i="1"/>
  <c r="AE17" i="1"/>
  <c r="X17" i="1"/>
  <c r="W17" i="1"/>
  <c r="V17" i="1"/>
  <c r="O17" i="1"/>
  <c r="N17" i="1"/>
  <c r="M17" i="1"/>
  <c r="L17" i="1"/>
  <c r="K17" i="1"/>
  <c r="J17" i="1"/>
  <c r="AG16" i="1"/>
  <c r="AF16" i="1"/>
  <c r="AE16" i="1"/>
  <c r="X16" i="1"/>
  <c r="W16" i="1"/>
  <c r="V16" i="1"/>
  <c r="O16" i="1"/>
  <c r="N16" i="1"/>
  <c r="M16" i="1"/>
  <c r="L16" i="1"/>
  <c r="K16" i="1"/>
  <c r="J16" i="1"/>
  <c r="AG13" i="1"/>
  <c r="AF13" i="1"/>
  <c r="AE13" i="1"/>
  <c r="X13" i="1"/>
  <c r="W13" i="1"/>
  <c r="V13" i="1"/>
  <c r="O13" i="1"/>
  <c r="N13" i="1"/>
  <c r="M13" i="1"/>
  <c r="L13" i="1"/>
  <c r="K13" i="1"/>
  <c r="J13" i="1"/>
  <c r="AG11" i="1"/>
  <c r="AF11" i="1"/>
  <c r="AE11" i="1"/>
  <c r="X11" i="1"/>
  <c r="W11" i="1"/>
  <c r="V11" i="1"/>
  <c r="O11" i="1"/>
  <c r="N11" i="1"/>
  <c r="M11" i="1"/>
  <c r="L11" i="1"/>
  <c r="K11" i="1"/>
  <c r="J11" i="1"/>
  <c r="AG10" i="1"/>
  <c r="AF10" i="1"/>
  <c r="AE10" i="1"/>
  <c r="X10" i="1"/>
  <c r="W10" i="1"/>
  <c r="V10" i="1"/>
  <c r="O10" i="1"/>
  <c r="N10" i="1"/>
  <c r="M10" i="1"/>
  <c r="L10" i="1"/>
  <c r="K10" i="1"/>
  <c r="J10" i="1"/>
  <c r="AG9" i="1"/>
  <c r="AF9" i="1"/>
  <c r="AE9" i="1"/>
  <c r="X9" i="1"/>
  <c r="W9" i="1"/>
  <c r="V9" i="1"/>
  <c r="O9" i="1"/>
  <c r="N9" i="1"/>
  <c r="M9" i="1"/>
  <c r="L9" i="1"/>
  <c r="K9" i="1"/>
  <c r="J9" i="1"/>
  <c r="AG7" i="1"/>
  <c r="AF7" i="1"/>
  <c r="AE7" i="1"/>
  <c r="X7" i="1"/>
  <c r="W7" i="1"/>
  <c r="V7" i="1"/>
  <c r="O7" i="1"/>
  <c r="N7" i="1"/>
  <c r="M7" i="1"/>
  <c r="L7" i="1"/>
  <c r="K7" i="1"/>
  <c r="J7" i="1"/>
  <c r="AG6" i="1"/>
  <c r="AF6" i="1"/>
  <c r="AE6" i="1"/>
  <c r="X6" i="1"/>
  <c r="W6" i="1"/>
  <c r="V6" i="1"/>
  <c r="O6" i="1"/>
  <c r="N6" i="1"/>
  <c r="M6" i="1"/>
  <c r="L6" i="1"/>
  <c r="K6" i="1"/>
  <c r="J6" i="1"/>
</calcChain>
</file>

<file path=xl/sharedStrings.xml><?xml version="1.0" encoding="utf-8"?>
<sst xmlns="http://schemas.openxmlformats.org/spreadsheetml/2006/main" count="45" uniqueCount="24">
  <si>
    <r>
      <t xml:space="preserve">Tavola 31 - Tasso di occupazione, di disoccupazione e di mancata partecipazione dei 20-34enni con titolo di studio secondario superiore o terziario conseguito 1-3 anni prima e non più in istruzione e formazione per genere e ripartizione geografica. Anni 2018, 2019, 2020, 2021, 2022, 2023 e 2024 </t>
    </r>
    <r>
      <rPr>
        <sz val="8"/>
        <rFont val="Verdana"/>
        <family val="2"/>
      </rPr>
      <t>(valori percentuali e variazioni in punti)</t>
    </r>
  </si>
  <si>
    <t xml:space="preserve">GENERE
RIPARTIZIONI GEOGRAFICHE
</t>
  </si>
  <si>
    <t>Tasso di occupazione</t>
  </si>
  <si>
    <t>Tasso di disoccupazione</t>
  </si>
  <si>
    <t>Tasso di mancata partecipazione</t>
  </si>
  <si>
    <t>Valori percentuali</t>
  </si>
  <si>
    <t>Variazioni in punti</t>
  </si>
  <si>
    <t>Variazione in punti</t>
  </si>
  <si>
    <t>2019/2018</t>
  </si>
  <si>
    <t>2020/2019</t>
  </si>
  <si>
    <t>2021/2020</t>
  </si>
  <si>
    <t>2022/2021</t>
  </si>
  <si>
    <t>2023/2022</t>
  </si>
  <si>
    <t>2024/2023</t>
  </si>
  <si>
    <t>SECONDARIO SUPERIORE E TERZIARIO</t>
  </si>
  <si>
    <t>Maschi</t>
  </si>
  <si>
    <t>Femmine</t>
  </si>
  <si>
    <t xml:space="preserve">Nord </t>
  </si>
  <si>
    <t xml:space="preserve">Centro </t>
  </si>
  <si>
    <t>Mezzogiorno</t>
  </si>
  <si>
    <t>Totale</t>
  </si>
  <si>
    <t>SECONDARIO SUPERIORE</t>
  </si>
  <si>
    <t>TERZIARIO</t>
  </si>
  <si>
    <t>Fonte: Istat, Rilevazione sulle forze di lavoro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</si>
</sst>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_ ;\-#,##0.0\ "/>
    <numFmt numFmtId="166" formatCode="#,##0_ ;\-#,##0\ "/>
  </numFmts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i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0" fontId="3" fillId="2" borderId="2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right" vertical="center" wrapText="1"/>
    </xf>
    <xf numFmtId="0" fontId="3" fillId="2" borderId="0" xfId="1" applyFont="1" applyFill="1" applyAlignment="1">
      <alignment vertical="center" wrapText="1"/>
    </xf>
    <xf numFmtId="0" fontId="3" fillId="0" borderId="3" xfId="1" applyFont="1" applyBorder="1" applyAlignment="1">
      <alignment horizontal="center" vertical="center"/>
    </xf>
    <xf numFmtId="0" fontId="3" fillId="2" borderId="3" xfId="1" applyFont="1" applyFill="1" applyBorder="1" applyAlignment="1">
      <alignment vertical="center"/>
    </xf>
    <xf numFmtId="164" fontId="3" fillId="2" borderId="0" xfId="1" applyNumberFormat="1" applyFont="1" applyFill="1" applyAlignment="1">
      <alignment horizontal="center" vertical="center"/>
    </xf>
    <xf numFmtId="164" fontId="3" fillId="2" borderId="0" xfId="1" applyNumberFormat="1" applyFont="1" applyFill="1" applyAlignment="1">
      <alignment vertical="center"/>
    </xf>
    <xf numFmtId="0" fontId="2" fillId="2" borderId="0" xfId="1" applyFont="1" applyFill="1" applyAlignment="1">
      <alignment vertical="center" wrapText="1"/>
    </xf>
    <xf numFmtId="164" fontId="2" fillId="2" borderId="0" xfId="1" applyNumberFormat="1" applyFont="1" applyFill="1" applyAlignment="1">
      <alignment horizontal="center" vertical="center"/>
    </xf>
    <xf numFmtId="164" fontId="2" fillId="2" borderId="0" xfId="1" applyNumberFormat="1" applyFont="1" applyFill="1" applyAlignment="1">
      <alignment vertical="center"/>
    </xf>
    <xf numFmtId="165" fontId="3" fillId="2" borderId="0" xfId="1" applyNumberFormat="1" applyFont="1" applyFill="1" applyAlignment="1">
      <alignment horizontal="center" vertical="center"/>
    </xf>
    <xf numFmtId="166" fontId="3" fillId="2" borderId="0" xfId="1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horizontal="center" vertical="center"/>
    </xf>
    <xf numFmtId="165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3" fillId="0" borderId="3" xfId="1" applyFont="1" applyBorder="1" applyAlignment="1" applyProtection="1">
      <alignment horizontal="center" vertical="center"/>
      <protection locked="0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166" fontId="3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165" fontId="3" fillId="2" borderId="0" xfId="1" applyNumberFormat="1" applyFont="1" applyFill="1" applyAlignment="1">
      <alignment vertical="center"/>
    </xf>
  </cellXfs>
  <cellStyles count="2">
    <cellStyle name="Normal" xfId="0" builtinId="0"/>
    <cellStyle name="Normale 2" xfId="1" xr:uid="{13A2A570-C1CC-6C45-BEA2-79BA5690DD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1BF2-B0EE-5442-AF88-2784DD13A46F}">
  <dimension ref="A1:AI40"/>
  <sheetViews>
    <sheetView tabSelected="1" workbookViewId="0">
      <selection sqref="A1:AI40"/>
    </sheetView>
  </sheetViews>
  <sheetFormatPr baseColWidth="10" defaultRowHeight="16" x14ac:dyDescent="0.2"/>
  <sheetData>
    <row r="1" spans="1:3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2"/>
    </row>
    <row r="2" spans="1:35" x14ac:dyDescent="0.2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4" t="s">
        <v>3</v>
      </c>
      <c r="R2" s="4"/>
      <c r="S2" s="4"/>
      <c r="T2" s="4"/>
      <c r="U2" s="4"/>
      <c r="V2" s="4"/>
      <c r="W2" s="4"/>
      <c r="X2" s="4"/>
      <c r="Y2" s="5"/>
      <c r="Z2" s="4" t="s">
        <v>4</v>
      </c>
      <c r="AA2" s="4"/>
      <c r="AB2" s="4"/>
      <c r="AC2" s="4"/>
      <c r="AD2" s="4"/>
      <c r="AE2" s="4"/>
      <c r="AF2" s="4"/>
      <c r="AG2" s="4"/>
      <c r="AH2" s="2"/>
      <c r="AI2" s="2"/>
    </row>
    <row r="3" spans="1:35" x14ac:dyDescent="0.2">
      <c r="A3" s="6"/>
      <c r="B3" s="4" t="s">
        <v>5</v>
      </c>
      <c r="C3" s="4"/>
      <c r="D3" s="4"/>
      <c r="E3" s="4"/>
      <c r="F3" s="4"/>
      <c r="G3" s="4"/>
      <c r="H3" s="4"/>
      <c r="I3" s="7"/>
      <c r="J3" s="4" t="s">
        <v>6</v>
      </c>
      <c r="K3" s="4"/>
      <c r="L3" s="4"/>
      <c r="M3" s="4"/>
      <c r="N3" s="4"/>
      <c r="O3" s="4"/>
      <c r="P3" s="7"/>
      <c r="Q3" s="4" t="s">
        <v>5</v>
      </c>
      <c r="R3" s="4"/>
      <c r="S3" s="4"/>
      <c r="T3" s="4"/>
      <c r="U3" s="8"/>
      <c r="V3" s="4" t="s">
        <v>7</v>
      </c>
      <c r="W3" s="4"/>
      <c r="X3" s="4"/>
      <c r="Y3" s="9"/>
      <c r="Z3" s="4" t="s">
        <v>5</v>
      </c>
      <c r="AA3" s="4"/>
      <c r="AB3" s="4"/>
      <c r="AC3" s="4"/>
      <c r="AD3" s="8"/>
      <c r="AE3" s="4" t="s">
        <v>7</v>
      </c>
      <c r="AF3" s="4"/>
      <c r="AG3" s="4"/>
      <c r="AH3" s="2"/>
      <c r="AI3" s="2"/>
    </row>
    <row r="4" spans="1:35" x14ac:dyDescent="0.2">
      <c r="A4" s="10"/>
      <c r="B4" s="11">
        <v>2018</v>
      </c>
      <c r="C4" s="11">
        <v>2019</v>
      </c>
      <c r="D4" s="11">
        <v>2020</v>
      </c>
      <c r="E4" s="11">
        <v>2021</v>
      </c>
      <c r="F4" s="11">
        <v>2022</v>
      </c>
      <c r="G4" s="11">
        <v>2023</v>
      </c>
      <c r="H4" s="11">
        <v>2024</v>
      </c>
      <c r="I4" s="12"/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2"/>
      <c r="Q4" s="11">
        <v>2021</v>
      </c>
      <c r="R4" s="11">
        <v>2022</v>
      </c>
      <c r="S4" s="11">
        <v>2023</v>
      </c>
      <c r="T4" s="11">
        <v>2024</v>
      </c>
      <c r="U4" s="12"/>
      <c r="V4" s="11" t="s">
        <v>11</v>
      </c>
      <c r="W4" s="11" t="s">
        <v>12</v>
      </c>
      <c r="X4" s="11" t="s">
        <v>13</v>
      </c>
      <c r="Y4" s="12"/>
      <c r="Z4" s="11">
        <v>2021</v>
      </c>
      <c r="AA4" s="11">
        <v>2022</v>
      </c>
      <c r="AB4" s="11">
        <v>2023</v>
      </c>
      <c r="AC4" s="11">
        <v>2024</v>
      </c>
      <c r="AD4" s="12"/>
      <c r="AE4" s="11" t="s">
        <v>11</v>
      </c>
      <c r="AF4" s="11" t="s">
        <v>12</v>
      </c>
      <c r="AG4" s="11" t="s">
        <v>13</v>
      </c>
      <c r="AH4" s="2"/>
      <c r="AI4" s="2"/>
    </row>
    <row r="5" spans="1:35" x14ac:dyDescent="0.2">
      <c r="A5" s="13"/>
      <c r="B5" s="14" t="s">
        <v>14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5"/>
      <c r="AH5" s="2"/>
      <c r="AI5" s="2"/>
    </row>
    <row r="6" spans="1:35" x14ac:dyDescent="0.2">
      <c r="A6" s="13" t="s">
        <v>15</v>
      </c>
      <c r="B6" s="16">
        <v>59</v>
      </c>
      <c r="C6" s="16">
        <v>61.8</v>
      </c>
      <c r="D6" s="16">
        <v>60</v>
      </c>
      <c r="E6" s="16">
        <v>61.5</v>
      </c>
      <c r="F6" s="16">
        <v>66</v>
      </c>
      <c r="G6" s="16">
        <v>70.599999999999994</v>
      </c>
      <c r="H6" s="16">
        <v>71.3</v>
      </c>
      <c r="I6" s="17"/>
      <c r="J6" s="16">
        <f t="shared" ref="J6:O13" si="0">C6-B6</f>
        <v>2.7999999999999972</v>
      </c>
      <c r="K6" s="16">
        <f t="shared" si="0"/>
        <v>-1.7999999999999972</v>
      </c>
      <c r="L6" s="16">
        <f t="shared" si="0"/>
        <v>1.5</v>
      </c>
      <c r="M6" s="16">
        <f t="shared" si="0"/>
        <v>4.5</v>
      </c>
      <c r="N6" s="16">
        <f t="shared" si="0"/>
        <v>4.5999999999999943</v>
      </c>
      <c r="O6" s="16">
        <f t="shared" si="0"/>
        <v>0.70000000000000284</v>
      </c>
      <c r="P6" s="17"/>
      <c r="Q6" s="16">
        <v>22.2</v>
      </c>
      <c r="R6" s="16">
        <v>17.7</v>
      </c>
      <c r="S6" s="16">
        <v>16.5</v>
      </c>
      <c r="T6" s="16">
        <v>14.7</v>
      </c>
      <c r="U6" s="17"/>
      <c r="V6" s="16">
        <f t="shared" ref="V6:X7" si="1">R6-Q6</f>
        <v>-4.5</v>
      </c>
      <c r="W6" s="16">
        <f t="shared" si="1"/>
        <v>-1.1999999999999993</v>
      </c>
      <c r="X6" s="16">
        <f t="shared" si="1"/>
        <v>-1.8000000000000007</v>
      </c>
      <c r="Y6" s="17"/>
      <c r="Z6" s="16">
        <v>32</v>
      </c>
      <c r="AA6" s="16">
        <v>27.1</v>
      </c>
      <c r="AB6" s="16">
        <v>24.4</v>
      </c>
      <c r="AC6" s="16">
        <v>23.2</v>
      </c>
      <c r="AD6" s="17"/>
      <c r="AE6" s="16">
        <f t="shared" ref="AE6:AG7" si="2">AA6-Z6</f>
        <v>-4.8999999999999986</v>
      </c>
      <c r="AF6" s="16">
        <f t="shared" si="2"/>
        <v>-2.7000000000000028</v>
      </c>
      <c r="AG6" s="16">
        <f t="shared" si="2"/>
        <v>-1.1999999999999993</v>
      </c>
      <c r="AH6" s="2"/>
      <c r="AI6" s="2"/>
    </row>
    <row r="7" spans="1:35" x14ac:dyDescent="0.2">
      <c r="A7" s="13" t="s">
        <v>16</v>
      </c>
      <c r="B7" s="16">
        <v>54.2</v>
      </c>
      <c r="C7" s="16">
        <v>56</v>
      </c>
      <c r="D7" s="16">
        <v>52.9</v>
      </c>
      <c r="E7" s="16">
        <v>54.4</v>
      </c>
      <c r="F7" s="16">
        <v>64.2</v>
      </c>
      <c r="G7" s="16">
        <v>64.3</v>
      </c>
      <c r="H7" s="16">
        <v>67.8</v>
      </c>
      <c r="I7" s="17"/>
      <c r="J7" s="16">
        <f t="shared" si="0"/>
        <v>1.7999999999999972</v>
      </c>
      <c r="K7" s="16">
        <f t="shared" si="0"/>
        <v>-3.1000000000000014</v>
      </c>
      <c r="L7" s="16">
        <f t="shared" si="0"/>
        <v>1.5</v>
      </c>
      <c r="M7" s="16">
        <f t="shared" si="0"/>
        <v>9.8000000000000043</v>
      </c>
      <c r="N7" s="16">
        <f t="shared" si="0"/>
        <v>9.9999999999994316E-2</v>
      </c>
      <c r="O7" s="16">
        <f t="shared" si="0"/>
        <v>3.5</v>
      </c>
      <c r="P7" s="17"/>
      <c r="Q7" s="16">
        <v>22.5</v>
      </c>
      <c r="R7" s="16">
        <v>17.8</v>
      </c>
      <c r="S7" s="16">
        <v>20.8</v>
      </c>
      <c r="T7" s="16">
        <v>16.100000000000001</v>
      </c>
      <c r="U7" s="17"/>
      <c r="V7" s="16">
        <f t="shared" si="1"/>
        <v>-4.6999999999999993</v>
      </c>
      <c r="W7" s="16">
        <f t="shared" si="1"/>
        <v>3</v>
      </c>
      <c r="X7" s="16">
        <f t="shared" si="1"/>
        <v>-4.6999999999999993</v>
      </c>
      <c r="Y7" s="17"/>
      <c r="Z7" s="16">
        <v>35.700000000000003</v>
      </c>
      <c r="AA7" s="16">
        <v>26.3</v>
      </c>
      <c r="AB7" s="16">
        <v>29.1</v>
      </c>
      <c r="AC7" s="16">
        <v>24.9</v>
      </c>
      <c r="AD7" s="17"/>
      <c r="AE7" s="16">
        <f t="shared" si="2"/>
        <v>-9.4000000000000021</v>
      </c>
      <c r="AF7" s="16">
        <f t="shared" si="2"/>
        <v>2.8000000000000007</v>
      </c>
      <c r="AG7" s="16">
        <f t="shared" si="2"/>
        <v>-4.2000000000000028</v>
      </c>
      <c r="AH7" s="2"/>
      <c r="AI7" s="2"/>
    </row>
    <row r="8" spans="1:35" x14ac:dyDescent="0.2">
      <c r="A8" s="13"/>
      <c r="B8" s="16"/>
      <c r="C8" s="16"/>
      <c r="D8" s="16"/>
      <c r="E8" s="16"/>
      <c r="F8" s="16"/>
      <c r="G8" s="16"/>
      <c r="H8" s="16"/>
      <c r="I8" s="17"/>
      <c r="J8" s="16"/>
      <c r="K8" s="16"/>
      <c r="L8" s="16"/>
      <c r="M8" s="16"/>
      <c r="N8" s="16"/>
      <c r="O8" s="16"/>
      <c r="P8" s="17"/>
      <c r="Q8" s="16"/>
      <c r="R8" s="16"/>
      <c r="S8" s="16"/>
      <c r="T8" s="16"/>
      <c r="U8" s="17"/>
      <c r="V8" s="16"/>
      <c r="W8" s="16"/>
      <c r="X8" s="16"/>
      <c r="Y8" s="17"/>
      <c r="Z8" s="16"/>
      <c r="AA8" s="16"/>
      <c r="AB8" s="16"/>
      <c r="AC8" s="16"/>
      <c r="AD8" s="17"/>
      <c r="AE8" s="16"/>
      <c r="AF8" s="16"/>
      <c r="AG8" s="16"/>
      <c r="AH8" s="2"/>
      <c r="AI8" s="2"/>
    </row>
    <row r="9" spans="1:35" x14ac:dyDescent="0.2">
      <c r="A9" s="13" t="s">
        <v>17</v>
      </c>
      <c r="B9" s="16">
        <v>71.8</v>
      </c>
      <c r="C9" s="16">
        <v>73.099999999999994</v>
      </c>
      <c r="D9" s="16">
        <v>69.5</v>
      </c>
      <c r="E9" s="16">
        <v>69.7</v>
      </c>
      <c r="F9" s="16">
        <v>75.900000000000006</v>
      </c>
      <c r="G9" s="16">
        <v>79.2</v>
      </c>
      <c r="H9" s="16">
        <v>79.400000000000006</v>
      </c>
      <c r="I9" s="17"/>
      <c r="J9" s="16">
        <f t="shared" ref="J9:N11" si="3">C9-B9</f>
        <v>1.2999999999999972</v>
      </c>
      <c r="K9" s="16">
        <f t="shared" si="3"/>
        <v>-3.5999999999999943</v>
      </c>
      <c r="L9" s="16">
        <f t="shared" si="3"/>
        <v>0.20000000000000284</v>
      </c>
      <c r="M9" s="16">
        <f t="shared" si="3"/>
        <v>6.2000000000000028</v>
      </c>
      <c r="N9" s="16">
        <f t="shared" si="3"/>
        <v>3.2999999999999972</v>
      </c>
      <c r="O9" s="16">
        <f t="shared" si="0"/>
        <v>0.20000000000000284</v>
      </c>
      <c r="P9" s="17"/>
      <c r="Q9" s="16">
        <v>14.6</v>
      </c>
      <c r="R9" s="16">
        <v>11</v>
      </c>
      <c r="S9" s="16">
        <v>11.2</v>
      </c>
      <c r="T9" s="16">
        <v>10.3</v>
      </c>
      <c r="U9" s="17"/>
      <c r="V9" s="16">
        <f t="shared" ref="V9:X11" si="4">R9-Q9</f>
        <v>-3.5999999999999996</v>
      </c>
      <c r="W9" s="16">
        <f t="shared" si="4"/>
        <v>0.19999999999999929</v>
      </c>
      <c r="X9" s="16">
        <f t="shared" si="4"/>
        <v>-0.89999999999999858</v>
      </c>
      <c r="Y9" s="17"/>
      <c r="Z9" s="16">
        <v>21.5</v>
      </c>
      <c r="AA9" s="16">
        <v>15.5</v>
      </c>
      <c r="AB9" s="16">
        <v>15</v>
      </c>
      <c r="AC9" s="16">
        <v>14.3</v>
      </c>
      <c r="AD9" s="17"/>
      <c r="AE9" s="16">
        <f t="shared" ref="AE9:AG11" si="5">AA9-Z9</f>
        <v>-6</v>
      </c>
      <c r="AF9" s="16">
        <f t="shared" si="5"/>
        <v>-0.5</v>
      </c>
      <c r="AG9" s="16">
        <f t="shared" si="5"/>
        <v>-0.69999999999999929</v>
      </c>
      <c r="AH9" s="2"/>
      <c r="AI9" s="2"/>
    </row>
    <row r="10" spans="1:35" x14ac:dyDescent="0.2">
      <c r="A10" s="13" t="s">
        <v>18</v>
      </c>
      <c r="B10" s="16">
        <v>56.9</v>
      </c>
      <c r="C10" s="16">
        <v>60.7</v>
      </c>
      <c r="D10" s="16">
        <v>58</v>
      </c>
      <c r="E10" s="16">
        <v>62.2</v>
      </c>
      <c r="F10" s="16">
        <v>68.400000000000006</v>
      </c>
      <c r="G10" s="16">
        <v>69.2</v>
      </c>
      <c r="H10" s="16">
        <v>71.2</v>
      </c>
      <c r="I10" s="17"/>
      <c r="J10" s="16">
        <f t="shared" si="3"/>
        <v>3.8000000000000043</v>
      </c>
      <c r="K10" s="16">
        <f t="shared" si="3"/>
        <v>-2.7000000000000028</v>
      </c>
      <c r="L10" s="16">
        <f t="shared" si="3"/>
        <v>4.2000000000000028</v>
      </c>
      <c r="M10" s="16">
        <f t="shared" si="3"/>
        <v>6.2000000000000028</v>
      </c>
      <c r="N10" s="16">
        <f t="shared" si="3"/>
        <v>0.79999999999999716</v>
      </c>
      <c r="O10" s="16">
        <f t="shared" si="0"/>
        <v>2</v>
      </c>
      <c r="P10" s="17"/>
      <c r="Q10" s="16">
        <v>21.4</v>
      </c>
      <c r="R10" s="16">
        <v>17.399999999999999</v>
      </c>
      <c r="S10" s="16">
        <v>18.5</v>
      </c>
      <c r="T10" s="16">
        <v>14.7</v>
      </c>
      <c r="U10" s="17"/>
      <c r="V10" s="16">
        <f t="shared" si="4"/>
        <v>-4</v>
      </c>
      <c r="W10" s="16">
        <f t="shared" si="4"/>
        <v>1.1000000000000014</v>
      </c>
      <c r="X10" s="16">
        <f t="shared" si="4"/>
        <v>-3.8000000000000007</v>
      </c>
      <c r="Y10" s="17"/>
      <c r="Z10" s="16">
        <v>29.7</v>
      </c>
      <c r="AA10" s="16">
        <v>23.4</v>
      </c>
      <c r="AB10" s="16">
        <v>23.9</v>
      </c>
      <c r="AC10" s="16">
        <v>21</v>
      </c>
      <c r="AD10" s="17"/>
      <c r="AE10" s="16">
        <f t="shared" si="5"/>
        <v>-6.3000000000000007</v>
      </c>
      <c r="AF10" s="16">
        <f t="shared" si="5"/>
        <v>0.5</v>
      </c>
      <c r="AG10" s="16">
        <f t="shared" si="5"/>
        <v>-2.8999999999999986</v>
      </c>
      <c r="AH10" s="2"/>
      <c r="AI10" s="2"/>
    </row>
    <row r="11" spans="1:35" x14ac:dyDescent="0.2">
      <c r="A11" s="13" t="s">
        <v>19</v>
      </c>
      <c r="B11" s="16">
        <v>36.5</v>
      </c>
      <c r="C11" s="16">
        <v>39.700000000000003</v>
      </c>
      <c r="D11" s="16">
        <v>37.799999999999997</v>
      </c>
      <c r="E11" s="16">
        <v>41.1</v>
      </c>
      <c r="F11" s="16">
        <v>48.1</v>
      </c>
      <c r="G11" s="16">
        <v>50</v>
      </c>
      <c r="H11" s="16">
        <v>54.7</v>
      </c>
      <c r="I11" s="17"/>
      <c r="J11" s="16">
        <f t="shared" si="3"/>
        <v>3.2000000000000028</v>
      </c>
      <c r="K11" s="16">
        <f t="shared" si="3"/>
        <v>-1.9000000000000057</v>
      </c>
      <c r="L11" s="16">
        <f t="shared" si="3"/>
        <v>3.3000000000000043</v>
      </c>
      <c r="M11" s="16">
        <f t="shared" si="3"/>
        <v>7</v>
      </c>
      <c r="N11" s="16">
        <f t="shared" si="3"/>
        <v>1.8999999999999986</v>
      </c>
      <c r="O11" s="16">
        <f t="shared" si="0"/>
        <v>4.7000000000000028</v>
      </c>
      <c r="P11" s="17"/>
      <c r="Q11" s="16">
        <v>35.200000000000003</v>
      </c>
      <c r="R11" s="16">
        <v>29.9</v>
      </c>
      <c r="S11" s="16">
        <v>31.4</v>
      </c>
      <c r="T11" s="16">
        <v>24.7</v>
      </c>
      <c r="U11" s="17"/>
      <c r="V11" s="16">
        <f t="shared" si="4"/>
        <v>-5.3000000000000043</v>
      </c>
      <c r="W11" s="16">
        <f t="shared" si="4"/>
        <v>1.5</v>
      </c>
      <c r="X11" s="16">
        <f t="shared" si="4"/>
        <v>-6.6999999999999993</v>
      </c>
      <c r="Y11" s="17"/>
      <c r="Z11" s="16">
        <v>51.8</v>
      </c>
      <c r="AA11" s="16">
        <v>45.1</v>
      </c>
      <c r="AB11" s="16">
        <v>45.2</v>
      </c>
      <c r="AC11" s="16">
        <v>39.799999999999997</v>
      </c>
      <c r="AD11" s="17"/>
      <c r="AE11" s="16">
        <f t="shared" si="5"/>
        <v>-6.6999999999999957</v>
      </c>
      <c r="AF11" s="16">
        <f t="shared" si="5"/>
        <v>0.10000000000000142</v>
      </c>
      <c r="AG11" s="16">
        <f t="shared" si="5"/>
        <v>-5.4000000000000057</v>
      </c>
      <c r="AH11" s="2"/>
      <c r="AI11" s="2"/>
    </row>
    <row r="12" spans="1:35" x14ac:dyDescent="0.2">
      <c r="A12" s="13"/>
      <c r="B12" s="16"/>
      <c r="C12" s="16"/>
      <c r="D12" s="16"/>
      <c r="E12" s="16"/>
      <c r="F12" s="16"/>
      <c r="G12" s="16"/>
      <c r="H12" s="16"/>
      <c r="I12" s="17"/>
      <c r="J12" s="16"/>
      <c r="K12" s="16"/>
      <c r="L12" s="16"/>
      <c r="M12" s="16"/>
      <c r="N12" s="16"/>
      <c r="O12" s="16"/>
      <c r="P12" s="17"/>
      <c r="Q12" s="16"/>
      <c r="R12" s="16"/>
      <c r="S12" s="16"/>
      <c r="T12" s="16"/>
      <c r="U12" s="17"/>
      <c r="V12" s="16"/>
      <c r="W12" s="16"/>
      <c r="X12" s="16"/>
      <c r="Y12" s="17"/>
      <c r="Z12" s="16"/>
      <c r="AA12" s="16"/>
      <c r="AB12" s="16"/>
      <c r="AC12" s="16"/>
      <c r="AD12" s="17"/>
      <c r="AE12" s="16"/>
      <c r="AF12" s="16"/>
      <c r="AG12" s="16"/>
      <c r="AH12" s="2"/>
      <c r="AI12" s="2"/>
    </row>
    <row r="13" spans="1:35" x14ac:dyDescent="0.2">
      <c r="A13" s="18" t="s">
        <v>20</v>
      </c>
      <c r="B13" s="19">
        <v>56.5</v>
      </c>
      <c r="C13" s="19">
        <v>58.8</v>
      </c>
      <c r="D13" s="19">
        <v>56.5</v>
      </c>
      <c r="E13" s="19">
        <v>57.9</v>
      </c>
      <c r="F13" s="19">
        <v>65.2</v>
      </c>
      <c r="G13" s="19">
        <v>67.5</v>
      </c>
      <c r="H13" s="19">
        <v>69.599999999999994</v>
      </c>
      <c r="I13" s="20"/>
      <c r="J13" s="19">
        <f>C13-B13</f>
        <v>2.2999999999999972</v>
      </c>
      <c r="K13" s="19">
        <f>D13-C13</f>
        <v>-2.2999999999999972</v>
      </c>
      <c r="L13" s="19">
        <f>E13-D13</f>
        <v>1.3999999999999986</v>
      </c>
      <c r="M13" s="19">
        <f>F13-E13</f>
        <v>7.3000000000000043</v>
      </c>
      <c r="N13" s="19">
        <f>G13-F13</f>
        <v>2.2999999999999972</v>
      </c>
      <c r="O13" s="19">
        <f t="shared" si="0"/>
        <v>2.0999999999999943</v>
      </c>
      <c r="P13" s="20"/>
      <c r="Q13" s="19">
        <v>22.3</v>
      </c>
      <c r="R13" s="19">
        <v>17.7</v>
      </c>
      <c r="S13" s="19">
        <v>18.600000000000001</v>
      </c>
      <c r="T13" s="19">
        <v>15.4</v>
      </c>
      <c r="U13" s="20"/>
      <c r="V13" s="19">
        <f>R13-Q13</f>
        <v>-4.6000000000000014</v>
      </c>
      <c r="W13" s="19">
        <f>S13-R13</f>
        <v>0.90000000000000213</v>
      </c>
      <c r="X13" s="19">
        <f>T13-S13</f>
        <v>-3.2000000000000011</v>
      </c>
      <c r="Y13" s="20"/>
      <c r="Z13" s="19">
        <v>33.799999999999997</v>
      </c>
      <c r="AA13" s="19">
        <v>26.7</v>
      </c>
      <c r="AB13" s="19">
        <v>26.7</v>
      </c>
      <c r="AC13" s="19">
        <v>24</v>
      </c>
      <c r="AD13" s="20"/>
      <c r="AE13" s="19">
        <f>AA13-Z13</f>
        <v>-7.0999999999999979</v>
      </c>
      <c r="AF13" s="19">
        <f>AB13-AA13</f>
        <v>0</v>
      </c>
      <c r="AG13" s="19">
        <f>AC13-AB13</f>
        <v>-2.6999999999999993</v>
      </c>
      <c r="AH13" s="2"/>
      <c r="AI13" s="2"/>
    </row>
    <row r="14" spans="1:35" x14ac:dyDescent="0.2">
      <c r="A14" s="18"/>
      <c r="B14" s="21"/>
      <c r="C14" s="21"/>
      <c r="D14" s="21"/>
      <c r="E14" s="21"/>
      <c r="F14" s="21"/>
      <c r="G14" s="21"/>
      <c r="H14" s="21"/>
      <c r="I14" s="22"/>
      <c r="J14" s="23"/>
      <c r="K14" s="23"/>
      <c r="L14" s="23"/>
      <c r="M14" s="23"/>
      <c r="N14" s="23"/>
      <c r="O14" s="23"/>
      <c r="P14" s="22"/>
      <c r="Q14" s="21"/>
      <c r="R14" s="21"/>
      <c r="S14" s="21"/>
      <c r="T14" s="21"/>
      <c r="U14" s="24"/>
      <c r="V14" s="21"/>
      <c r="W14" s="21"/>
      <c r="X14" s="21"/>
      <c r="Y14" s="24"/>
      <c r="Z14" s="21"/>
      <c r="AA14" s="21"/>
      <c r="AB14" s="21"/>
      <c r="AC14" s="21"/>
      <c r="AD14" s="24"/>
      <c r="AE14" s="21"/>
      <c r="AF14" s="25"/>
      <c r="AG14" s="26"/>
      <c r="AH14" s="2"/>
      <c r="AI14" s="2"/>
    </row>
    <row r="15" spans="1:35" x14ac:dyDescent="0.2">
      <c r="A15" s="13"/>
      <c r="B15" s="27" t="s">
        <v>21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15"/>
      <c r="AH15" s="2"/>
      <c r="AI15" s="2"/>
    </row>
    <row r="16" spans="1:35" x14ac:dyDescent="0.2">
      <c r="A16" s="13" t="s">
        <v>15</v>
      </c>
      <c r="B16" s="16">
        <v>54.3</v>
      </c>
      <c r="C16" s="16">
        <v>58.1</v>
      </c>
      <c r="D16" s="16">
        <v>55</v>
      </c>
      <c r="E16" s="16">
        <v>56.2</v>
      </c>
      <c r="F16" s="16">
        <v>58.7</v>
      </c>
      <c r="G16" s="16">
        <v>64.2</v>
      </c>
      <c r="H16" s="16">
        <v>64.3</v>
      </c>
      <c r="I16" s="17"/>
      <c r="J16" s="16">
        <f t="shared" ref="J16:O23" si="6">C16-B16</f>
        <v>3.8000000000000043</v>
      </c>
      <c r="K16" s="16">
        <f t="shared" si="6"/>
        <v>-3.1000000000000014</v>
      </c>
      <c r="L16" s="16">
        <f t="shared" si="6"/>
        <v>1.2000000000000028</v>
      </c>
      <c r="M16" s="16">
        <f t="shared" si="6"/>
        <v>2.5</v>
      </c>
      <c r="N16" s="16">
        <f t="shared" si="6"/>
        <v>5.5</v>
      </c>
      <c r="O16" s="16">
        <f t="shared" si="6"/>
        <v>9.9999999999994316E-2</v>
      </c>
      <c r="P16" s="17"/>
      <c r="Q16" s="16">
        <v>26.5</v>
      </c>
      <c r="R16" s="16">
        <v>22.7</v>
      </c>
      <c r="S16" s="16">
        <v>20.7</v>
      </c>
      <c r="T16" s="16">
        <v>19.3</v>
      </c>
      <c r="U16" s="17"/>
      <c r="V16" s="16">
        <f t="shared" ref="V16:X17" si="7">R16-Q16</f>
        <v>-3.8000000000000007</v>
      </c>
      <c r="W16" s="16">
        <f t="shared" si="7"/>
        <v>-2</v>
      </c>
      <c r="X16" s="16">
        <f t="shared" si="7"/>
        <v>-1.3999999999999986</v>
      </c>
      <c r="Y16" s="17"/>
      <c r="Z16" s="16">
        <v>37.5</v>
      </c>
      <c r="AA16" s="16">
        <v>34.1</v>
      </c>
      <c r="AB16" s="16">
        <v>30.3</v>
      </c>
      <c r="AC16" s="16">
        <v>29.1</v>
      </c>
      <c r="AD16" s="17"/>
      <c r="AE16" s="16">
        <f t="shared" ref="AE16:AG17" si="8">AA16-Z16</f>
        <v>-3.3999999999999986</v>
      </c>
      <c r="AF16" s="16">
        <f t="shared" si="8"/>
        <v>-3.8000000000000007</v>
      </c>
      <c r="AG16" s="16">
        <f t="shared" si="8"/>
        <v>-1.1999999999999993</v>
      </c>
      <c r="AH16" s="2"/>
      <c r="AI16" s="2"/>
    </row>
    <row r="17" spans="1:35" x14ac:dyDescent="0.2">
      <c r="A17" s="13" t="s">
        <v>16</v>
      </c>
      <c r="B17" s="16">
        <v>44.7</v>
      </c>
      <c r="C17" s="16">
        <v>45.4</v>
      </c>
      <c r="D17" s="16">
        <v>41.9</v>
      </c>
      <c r="E17" s="16">
        <v>41.3</v>
      </c>
      <c r="F17" s="16">
        <v>53.4</v>
      </c>
      <c r="G17" s="16">
        <v>53.6</v>
      </c>
      <c r="H17" s="16">
        <v>55.2</v>
      </c>
      <c r="I17" s="17"/>
      <c r="J17" s="16">
        <f t="shared" si="6"/>
        <v>0.69999999999999574</v>
      </c>
      <c r="K17" s="16">
        <f t="shared" si="6"/>
        <v>-3.5</v>
      </c>
      <c r="L17" s="16">
        <f t="shared" si="6"/>
        <v>-0.60000000000000142</v>
      </c>
      <c r="M17" s="16">
        <f t="shared" si="6"/>
        <v>12.100000000000001</v>
      </c>
      <c r="N17" s="16">
        <f t="shared" si="6"/>
        <v>0.20000000000000284</v>
      </c>
      <c r="O17" s="16">
        <f t="shared" si="6"/>
        <v>1.6000000000000014</v>
      </c>
      <c r="P17" s="17"/>
      <c r="Q17" s="16">
        <v>32.5</v>
      </c>
      <c r="R17" s="16">
        <v>25.4</v>
      </c>
      <c r="S17" s="16">
        <v>29.6</v>
      </c>
      <c r="T17" s="16">
        <v>24.5</v>
      </c>
      <c r="U17" s="17"/>
      <c r="V17" s="16">
        <f t="shared" si="7"/>
        <v>-7.1000000000000014</v>
      </c>
      <c r="W17" s="16">
        <f t="shared" si="7"/>
        <v>4.2000000000000028</v>
      </c>
      <c r="X17" s="16">
        <f t="shared" si="7"/>
        <v>-5.1000000000000014</v>
      </c>
      <c r="Y17" s="17"/>
      <c r="Z17" s="16">
        <v>48</v>
      </c>
      <c r="AA17" s="16">
        <v>35.700000000000003</v>
      </c>
      <c r="AB17" s="16">
        <v>39.4</v>
      </c>
      <c r="AC17" s="16">
        <v>36.700000000000003</v>
      </c>
      <c r="AD17" s="17"/>
      <c r="AE17" s="16">
        <f t="shared" si="8"/>
        <v>-12.299999999999997</v>
      </c>
      <c r="AF17" s="16">
        <f t="shared" si="8"/>
        <v>3.6999999999999957</v>
      </c>
      <c r="AG17" s="16">
        <f t="shared" si="8"/>
        <v>-2.6999999999999957</v>
      </c>
      <c r="AH17" s="2"/>
      <c r="AI17" s="2"/>
    </row>
    <row r="18" spans="1:35" x14ac:dyDescent="0.2">
      <c r="A18" s="13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7"/>
      <c r="Q18" s="16"/>
      <c r="R18" s="16"/>
      <c r="S18" s="16"/>
      <c r="T18" s="16"/>
      <c r="U18" s="17"/>
      <c r="V18" s="16"/>
      <c r="W18" s="16"/>
      <c r="X18" s="16"/>
      <c r="Y18" s="17"/>
      <c r="Z18" s="16"/>
      <c r="AA18" s="16"/>
      <c r="AB18" s="16"/>
      <c r="AC18" s="16"/>
      <c r="AD18" s="17"/>
      <c r="AE18" s="16"/>
      <c r="AF18" s="16"/>
      <c r="AG18" s="16"/>
      <c r="AH18" s="2"/>
      <c r="AI18" s="2"/>
    </row>
    <row r="19" spans="1:35" x14ac:dyDescent="0.2">
      <c r="A19" s="13" t="s">
        <v>17</v>
      </c>
      <c r="B19" s="16">
        <v>65.7</v>
      </c>
      <c r="C19" s="16">
        <v>68.8</v>
      </c>
      <c r="D19" s="16">
        <v>63.7</v>
      </c>
      <c r="E19" s="16">
        <v>62.5</v>
      </c>
      <c r="F19" s="16">
        <v>70.2</v>
      </c>
      <c r="G19" s="16">
        <v>73.900000000000006</v>
      </c>
      <c r="H19" s="16">
        <v>71</v>
      </c>
      <c r="I19" s="17"/>
      <c r="J19" s="16">
        <f t="shared" ref="J19:N21" si="9">C19-B19</f>
        <v>3.0999999999999943</v>
      </c>
      <c r="K19" s="16">
        <f t="shared" si="9"/>
        <v>-5.0999999999999943</v>
      </c>
      <c r="L19" s="16">
        <f t="shared" si="9"/>
        <v>-1.2000000000000028</v>
      </c>
      <c r="M19" s="16">
        <f t="shared" si="9"/>
        <v>7.7000000000000028</v>
      </c>
      <c r="N19" s="16">
        <f t="shared" si="9"/>
        <v>3.7000000000000028</v>
      </c>
      <c r="O19" s="16">
        <f t="shared" si="6"/>
        <v>-2.9000000000000057</v>
      </c>
      <c r="P19" s="17"/>
      <c r="Q19" s="16">
        <v>19.600000000000001</v>
      </c>
      <c r="R19" s="16">
        <v>14.4</v>
      </c>
      <c r="S19" s="16">
        <v>15.3</v>
      </c>
      <c r="T19" s="16">
        <v>14.4</v>
      </c>
      <c r="U19" s="17"/>
      <c r="V19" s="16">
        <f t="shared" ref="V19:X21" si="10">R19-Q19</f>
        <v>-5.2000000000000011</v>
      </c>
      <c r="W19" s="16">
        <f t="shared" si="10"/>
        <v>0.90000000000000036</v>
      </c>
      <c r="X19" s="16">
        <f t="shared" si="10"/>
        <v>-0.90000000000000036</v>
      </c>
      <c r="Y19" s="17"/>
      <c r="Z19" s="16">
        <v>27.2</v>
      </c>
      <c r="AA19" s="16">
        <v>19.7</v>
      </c>
      <c r="AB19" s="16">
        <v>19.899999999999999</v>
      </c>
      <c r="AC19" s="16">
        <v>20.5</v>
      </c>
      <c r="AD19" s="17"/>
      <c r="AE19" s="16">
        <f t="shared" ref="AE19:AG21" si="11">AA19-Z19</f>
        <v>-7.5</v>
      </c>
      <c r="AF19" s="16">
        <f t="shared" si="11"/>
        <v>0.19999999999999929</v>
      </c>
      <c r="AG19" s="16">
        <f t="shared" si="11"/>
        <v>0.60000000000000142</v>
      </c>
      <c r="AH19" s="2"/>
      <c r="AI19" s="2"/>
    </row>
    <row r="20" spans="1:35" x14ac:dyDescent="0.2">
      <c r="A20" s="13" t="s">
        <v>18</v>
      </c>
      <c r="B20" s="16">
        <v>49</v>
      </c>
      <c r="C20" s="16">
        <v>52.7</v>
      </c>
      <c r="D20" s="16">
        <v>50.3</v>
      </c>
      <c r="E20" s="16">
        <v>54.9</v>
      </c>
      <c r="F20" s="16">
        <v>58.5</v>
      </c>
      <c r="G20" s="16">
        <v>59.2</v>
      </c>
      <c r="H20" s="16">
        <v>65.099999999999994</v>
      </c>
      <c r="I20" s="17"/>
      <c r="J20" s="16">
        <f t="shared" si="9"/>
        <v>3.7000000000000028</v>
      </c>
      <c r="K20" s="16">
        <f t="shared" si="9"/>
        <v>-2.4000000000000057</v>
      </c>
      <c r="L20" s="16">
        <f t="shared" si="9"/>
        <v>4.6000000000000014</v>
      </c>
      <c r="M20" s="16">
        <f t="shared" si="9"/>
        <v>3.6000000000000014</v>
      </c>
      <c r="N20" s="16">
        <f t="shared" si="9"/>
        <v>0.70000000000000284</v>
      </c>
      <c r="O20" s="16">
        <f t="shared" si="6"/>
        <v>5.8999999999999915</v>
      </c>
      <c r="P20" s="17"/>
      <c r="Q20" s="16">
        <v>28.2</v>
      </c>
      <c r="R20" s="16">
        <v>25.2</v>
      </c>
      <c r="S20" s="16">
        <v>25.3</v>
      </c>
      <c r="T20" s="16">
        <v>20.100000000000001</v>
      </c>
      <c r="U20" s="17"/>
      <c r="V20" s="16">
        <f t="shared" si="10"/>
        <v>-3</v>
      </c>
      <c r="W20" s="16">
        <f t="shared" si="10"/>
        <v>0.10000000000000142</v>
      </c>
      <c r="X20" s="16">
        <f t="shared" si="10"/>
        <v>-5.1999999999999993</v>
      </c>
      <c r="Y20" s="17"/>
      <c r="Z20" s="16">
        <v>36.799999999999997</v>
      </c>
      <c r="AA20" s="16">
        <v>32.799999999999997</v>
      </c>
      <c r="AB20" s="16">
        <v>32.6</v>
      </c>
      <c r="AC20" s="16">
        <v>27.5</v>
      </c>
      <c r="AD20" s="17"/>
      <c r="AE20" s="16">
        <f t="shared" si="11"/>
        <v>-4</v>
      </c>
      <c r="AF20" s="16">
        <f t="shared" si="11"/>
        <v>-0.19999999999999574</v>
      </c>
      <c r="AG20" s="16">
        <f t="shared" si="11"/>
        <v>-5.1000000000000014</v>
      </c>
      <c r="AH20" s="2"/>
      <c r="AI20" s="2"/>
    </row>
    <row r="21" spans="1:35" x14ac:dyDescent="0.2">
      <c r="A21" s="13" t="s">
        <v>19</v>
      </c>
      <c r="B21" s="16">
        <v>32.299999999999997</v>
      </c>
      <c r="C21" s="16">
        <v>34.299999999999997</v>
      </c>
      <c r="D21" s="16">
        <v>31.4</v>
      </c>
      <c r="E21" s="16">
        <v>32.200000000000003</v>
      </c>
      <c r="F21" s="16">
        <v>37</v>
      </c>
      <c r="G21" s="16">
        <v>41.4</v>
      </c>
      <c r="H21" s="16">
        <v>44.4</v>
      </c>
      <c r="I21" s="17"/>
      <c r="J21" s="16">
        <f t="shared" si="9"/>
        <v>2</v>
      </c>
      <c r="K21" s="16">
        <f t="shared" si="9"/>
        <v>-2.8999999999999986</v>
      </c>
      <c r="L21" s="16">
        <f t="shared" si="9"/>
        <v>0.80000000000000426</v>
      </c>
      <c r="M21" s="16">
        <f t="shared" si="9"/>
        <v>4.7999999999999972</v>
      </c>
      <c r="N21" s="16">
        <f t="shared" si="9"/>
        <v>4.3999999999999986</v>
      </c>
      <c r="O21" s="16">
        <f t="shared" si="6"/>
        <v>3</v>
      </c>
      <c r="P21" s="17"/>
      <c r="Q21" s="16">
        <v>44</v>
      </c>
      <c r="R21" s="16">
        <v>39.700000000000003</v>
      </c>
      <c r="S21" s="16">
        <v>38.9</v>
      </c>
      <c r="T21" s="16">
        <v>33.4</v>
      </c>
      <c r="U21" s="17"/>
      <c r="V21" s="16">
        <f t="shared" si="10"/>
        <v>-4.2999999999999972</v>
      </c>
      <c r="W21" s="16">
        <f t="shared" si="10"/>
        <v>-0.80000000000000426</v>
      </c>
      <c r="X21" s="16">
        <f t="shared" si="10"/>
        <v>-5.5</v>
      </c>
      <c r="Y21" s="17"/>
      <c r="Z21" s="16">
        <v>61.8</v>
      </c>
      <c r="AA21" s="16">
        <v>56.7</v>
      </c>
      <c r="AB21" s="16">
        <v>54</v>
      </c>
      <c r="AC21" s="16">
        <v>50</v>
      </c>
      <c r="AD21" s="17"/>
      <c r="AE21" s="16">
        <f t="shared" si="11"/>
        <v>-5.0999999999999943</v>
      </c>
      <c r="AF21" s="16">
        <f t="shared" si="11"/>
        <v>-2.7000000000000028</v>
      </c>
      <c r="AG21" s="16">
        <f t="shared" si="11"/>
        <v>-4</v>
      </c>
      <c r="AH21" s="28"/>
      <c r="AI21" s="28"/>
    </row>
    <row r="22" spans="1:35" x14ac:dyDescent="0.2">
      <c r="A22" s="13"/>
      <c r="B22" s="16"/>
      <c r="C22" s="16"/>
      <c r="D22" s="16"/>
      <c r="E22" s="16"/>
      <c r="F22" s="16"/>
      <c r="G22" s="16"/>
      <c r="H22" s="16"/>
      <c r="I22" s="24"/>
      <c r="J22" s="21"/>
      <c r="K22" s="21"/>
      <c r="L22" s="21"/>
      <c r="M22" s="21"/>
      <c r="N22" s="21"/>
      <c r="O22" s="16"/>
      <c r="P22" s="24"/>
      <c r="Q22" s="16"/>
      <c r="R22" s="16"/>
      <c r="S22" s="16"/>
      <c r="T22" s="16"/>
      <c r="U22" s="24"/>
      <c r="V22" s="16"/>
      <c r="W22" s="16"/>
      <c r="X22" s="16"/>
      <c r="Y22" s="17"/>
      <c r="Z22" s="16"/>
      <c r="AA22" s="16"/>
      <c r="AB22" s="16"/>
      <c r="AC22" s="16"/>
      <c r="AD22" s="24"/>
      <c r="AE22" s="16"/>
      <c r="AF22" s="16"/>
      <c r="AG22" s="16"/>
      <c r="AH22" s="28"/>
      <c r="AI22" s="28"/>
    </row>
    <row r="23" spans="1:35" x14ac:dyDescent="0.2">
      <c r="A23" s="18" t="s">
        <v>20</v>
      </c>
      <c r="B23" s="19">
        <v>50.3</v>
      </c>
      <c r="C23" s="19">
        <v>52.9</v>
      </c>
      <c r="D23" s="19">
        <v>49.7</v>
      </c>
      <c r="E23" s="19">
        <v>49.9</v>
      </c>
      <c r="F23" s="19">
        <v>56.5</v>
      </c>
      <c r="G23" s="19">
        <v>59.7</v>
      </c>
      <c r="H23" s="19">
        <v>60.6</v>
      </c>
      <c r="I23" s="20"/>
      <c r="J23" s="19">
        <f>C23-B23</f>
        <v>2.6000000000000014</v>
      </c>
      <c r="K23" s="19">
        <f>D23-C23</f>
        <v>-3.1999999999999957</v>
      </c>
      <c r="L23" s="19">
        <f>E23-D23</f>
        <v>0.19999999999999574</v>
      </c>
      <c r="M23" s="19">
        <f>F23-E23</f>
        <v>6.6000000000000014</v>
      </c>
      <c r="N23" s="19">
        <f>G23-F23</f>
        <v>3.2000000000000028</v>
      </c>
      <c r="O23" s="19">
        <f t="shared" si="6"/>
        <v>0.89999999999999858</v>
      </c>
      <c r="P23" s="20"/>
      <c r="Q23" s="19">
        <v>28.7</v>
      </c>
      <c r="R23" s="19">
        <v>23.7</v>
      </c>
      <c r="S23" s="19">
        <v>24.3</v>
      </c>
      <c r="T23" s="19">
        <v>21.3</v>
      </c>
      <c r="U23" s="20"/>
      <c r="V23" s="19">
        <f>R23-Q23</f>
        <v>-5</v>
      </c>
      <c r="W23" s="19">
        <f>S23-R23</f>
        <v>0.60000000000000142</v>
      </c>
      <c r="X23" s="19">
        <f>T23-S23</f>
        <v>-3</v>
      </c>
      <c r="Y23" s="20"/>
      <c r="Z23" s="19">
        <v>41.6</v>
      </c>
      <c r="AA23" s="19">
        <v>34.700000000000003</v>
      </c>
      <c r="AB23" s="19">
        <v>34.1</v>
      </c>
      <c r="AC23" s="19">
        <v>32.1</v>
      </c>
      <c r="AD23" s="20"/>
      <c r="AE23" s="19">
        <f>AA23-Z23</f>
        <v>-6.8999999999999986</v>
      </c>
      <c r="AF23" s="19">
        <f>AB23-AA23</f>
        <v>-0.60000000000000142</v>
      </c>
      <c r="AG23" s="19">
        <f>AC23-AB23</f>
        <v>-2</v>
      </c>
      <c r="AH23" s="28"/>
      <c r="AI23" s="28"/>
    </row>
    <row r="24" spans="1:35" x14ac:dyDescent="0.2">
      <c r="A24" s="18"/>
      <c r="B24" s="21"/>
      <c r="C24" s="21"/>
      <c r="D24" s="21"/>
      <c r="E24" s="21"/>
      <c r="F24" s="21"/>
      <c r="G24" s="21"/>
      <c r="H24" s="21"/>
      <c r="I24" s="24"/>
      <c r="J24" s="21"/>
      <c r="K24" s="21"/>
      <c r="L24" s="21"/>
      <c r="M24" s="21"/>
      <c r="N24" s="21"/>
      <c r="O24" s="21"/>
      <c r="P24" s="24"/>
      <c r="Q24" s="21"/>
      <c r="R24" s="21"/>
      <c r="S24" s="21"/>
      <c r="T24" s="21"/>
      <c r="U24" s="24"/>
      <c r="V24" s="21"/>
      <c r="W24" s="21"/>
      <c r="X24" s="21"/>
      <c r="Y24" s="24"/>
      <c r="Z24" s="21"/>
      <c r="AA24" s="21"/>
      <c r="AB24" s="21"/>
      <c r="AC24" s="21"/>
      <c r="AD24" s="24"/>
      <c r="AE24" s="21"/>
      <c r="AF24" s="29"/>
      <c r="AG24" s="30"/>
      <c r="AH24" s="28"/>
      <c r="AI24" s="28"/>
    </row>
    <row r="25" spans="1:35" x14ac:dyDescent="0.2">
      <c r="A25" s="2"/>
      <c r="B25" s="27" t="s">
        <v>22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15"/>
      <c r="AH25" s="2"/>
      <c r="AI25" s="2"/>
    </row>
    <row r="26" spans="1:35" x14ac:dyDescent="0.2">
      <c r="A26" s="13" t="s">
        <v>15</v>
      </c>
      <c r="B26" s="16">
        <v>66.099999999999994</v>
      </c>
      <c r="C26" s="16">
        <v>67.5</v>
      </c>
      <c r="D26" s="16">
        <v>67.5</v>
      </c>
      <c r="E26" s="16">
        <v>70.7</v>
      </c>
      <c r="F26" s="16">
        <v>77.7</v>
      </c>
      <c r="G26" s="16">
        <v>79.3</v>
      </c>
      <c r="H26" s="16">
        <v>79.8</v>
      </c>
      <c r="I26" s="17"/>
      <c r="J26" s="16">
        <f t="shared" ref="J26:O33" si="12">C26-B26</f>
        <v>1.4000000000000057</v>
      </c>
      <c r="K26" s="16">
        <f t="shared" si="12"/>
        <v>0</v>
      </c>
      <c r="L26" s="16">
        <f t="shared" si="12"/>
        <v>3.2000000000000028</v>
      </c>
      <c r="M26" s="16">
        <f t="shared" si="12"/>
        <v>7</v>
      </c>
      <c r="N26" s="16">
        <f t="shared" si="12"/>
        <v>1.5999999999999943</v>
      </c>
      <c r="O26" s="16">
        <f t="shared" si="12"/>
        <v>0.5</v>
      </c>
      <c r="P26" s="17"/>
      <c r="Q26" s="16">
        <v>15.3</v>
      </c>
      <c r="R26" s="16">
        <v>10.8</v>
      </c>
      <c r="S26" s="16">
        <v>11.4</v>
      </c>
      <c r="T26" s="16">
        <v>9.6999999999999993</v>
      </c>
      <c r="U26" s="17"/>
      <c r="V26" s="16">
        <f t="shared" ref="V26:X27" si="13">R26-Q26</f>
        <v>-4.5</v>
      </c>
      <c r="W26" s="16">
        <f t="shared" si="13"/>
        <v>0.59999999999999964</v>
      </c>
      <c r="X26" s="16">
        <f t="shared" si="13"/>
        <v>-1.7000000000000011</v>
      </c>
      <c r="Y26" s="17"/>
      <c r="Z26" s="16">
        <v>22.7</v>
      </c>
      <c r="AA26" s="16">
        <v>16.600000000000001</v>
      </c>
      <c r="AB26" s="16">
        <v>16.600000000000001</v>
      </c>
      <c r="AC26" s="16">
        <v>16.3</v>
      </c>
      <c r="AD26" s="17"/>
      <c r="AE26" s="16">
        <f t="shared" ref="AE26:AG27" si="14">AA26-Z26</f>
        <v>-6.0999999999999979</v>
      </c>
      <c r="AF26" s="16">
        <f t="shared" si="14"/>
        <v>0</v>
      </c>
      <c r="AG26" s="16">
        <f t="shared" si="14"/>
        <v>-0.30000000000000071</v>
      </c>
      <c r="AH26" s="2"/>
      <c r="AI26" s="2"/>
    </row>
    <row r="27" spans="1:35" x14ac:dyDescent="0.2">
      <c r="A27" s="13" t="s">
        <v>16</v>
      </c>
      <c r="B27" s="16">
        <v>60.9</v>
      </c>
      <c r="C27" s="16">
        <v>63.5</v>
      </c>
      <c r="D27" s="16">
        <v>61.1</v>
      </c>
      <c r="E27" s="16">
        <v>65.400000000000006</v>
      </c>
      <c r="F27" s="16">
        <v>72.400000000000006</v>
      </c>
      <c r="G27" s="16">
        <v>72.5</v>
      </c>
      <c r="H27" s="16">
        <v>75.5</v>
      </c>
      <c r="I27" s="17"/>
      <c r="J27" s="16">
        <f t="shared" si="12"/>
        <v>2.6000000000000014</v>
      </c>
      <c r="K27" s="16">
        <f t="shared" si="12"/>
        <v>-2.3999999999999986</v>
      </c>
      <c r="L27" s="16">
        <f t="shared" si="12"/>
        <v>4.3000000000000043</v>
      </c>
      <c r="M27" s="16">
        <f t="shared" si="12"/>
        <v>7</v>
      </c>
      <c r="N27" s="16">
        <f t="shared" si="12"/>
        <v>9.9999999999994316E-2</v>
      </c>
      <c r="O27" s="16">
        <f t="shared" si="12"/>
        <v>3</v>
      </c>
      <c r="P27" s="17"/>
      <c r="Q27" s="16">
        <v>15.8</v>
      </c>
      <c r="R27" s="16">
        <v>12.9</v>
      </c>
      <c r="S27" s="16">
        <v>14.8</v>
      </c>
      <c r="T27" s="16">
        <v>11.8</v>
      </c>
      <c r="U27" s="17"/>
      <c r="V27" s="16">
        <f t="shared" si="13"/>
        <v>-2.9000000000000004</v>
      </c>
      <c r="W27" s="16">
        <f t="shared" si="13"/>
        <v>1.9000000000000004</v>
      </c>
      <c r="X27" s="16">
        <f t="shared" si="13"/>
        <v>-3</v>
      </c>
      <c r="Y27" s="17"/>
      <c r="Z27" s="16">
        <v>26.4</v>
      </c>
      <c r="AA27" s="16">
        <v>19.8</v>
      </c>
      <c r="AB27" s="16">
        <v>21.6</v>
      </c>
      <c r="AC27" s="16">
        <v>18</v>
      </c>
      <c r="AD27" s="17"/>
      <c r="AE27" s="16">
        <f t="shared" si="14"/>
        <v>-6.5999999999999979</v>
      </c>
      <c r="AF27" s="16">
        <f t="shared" si="14"/>
        <v>1.8000000000000007</v>
      </c>
      <c r="AG27" s="16">
        <f t="shared" si="14"/>
        <v>-3.6000000000000014</v>
      </c>
      <c r="AH27" s="2"/>
      <c r="AI27" s="2"/>
    </row>
    <row r="28" spans="1:35" x14ac:dyDescent="0.2">
      <c r="A28" s="13"/>
      <c r="B28" s="16"/>
      <c r="C28" s="16"/>
      <c r="D28" s="16"/>
      <c r="E28" s="16"/>
      <c r="F28" s="16"/>
      <c r="G28" s="16"/>
      <c r="H28" s="16"/>
      <c r="I28" s="17"/>
      <c r="J28" s="16"/>
      <c r="K28" s="16"/>
      <c r="L28" s="16"/>
      <c r="M28" s="16"/>
      <c r="N28" s="16"/>
      <c r="O28" s="16"/>
      <c r="P28" s="17"/>
      <c r="Q28" s="16"/>
      <c r="R28" s="16"/>
      <c r="S28" s="16"/>
      <c r="T28" s="16"/>
      <c r="U28" s="17"/>
      <c r="V28" s="16"/>
      <c r="W28" s="16"/>
      <c r="X28" s="16"/>
      <c r="Y28" s="17"/>
      <c r="Z28" s="16"/>
      <c r="AA28" s="16"/>
      <c r="AB28" s="16"/>
      <c r="AC28" s="16"/>
      <c r="AD28" s="17"/>
      <c r="AE28" s="16"/>
      <c r="AF28" s="16"/>
      <c r="AG28" s="16"/>
      <c r="AH28" s="2"/>
      <c r="AI28" s="2"/>
    </row>
    <row r="29" spans="1:35" x14ac:dyDescent="0.2">
      <c r="A29" s="13" t="s">
        <v>17</v>
      </c>
      <c r="B29" s="16">
        <v>77.599999999999994</v>
      </c>
      <c r="C29" s="16">
        <v>77.3</v>
      </c>
      <c r="D29" s="16">
        <v>75.5</v>
      </c>
      <c r="E29" s="16">
        <v>78.2</v>
      </c>
      <c r="F29" s="16">
        <v>82.2</v>
      </c>
      <c r="G29" s="16">
        <v>84.5</v>
      </c>
      <c r="H29" s="16">
        <v>86.3</v>
      </c>
      <c r="I29" s="17"/>
      <c r="J29" s="16">
        <f t="shared" ref="J29:N31" si="15">C29-B29</f>
        <v>-0.29999999999999716</v>
      </c>
      <c r="K29" s="16">
        <f t="shared" si="15"/>
        <v>-1.7999999999999972</v>
      </c>
      <c r="L29" s="16">
        <f t="shared" si="15"/>
        <v>2.7000000000000028</v>
      </c>
      <c r="M29" s="16">
        <f t="shared" si="15"/>
        <v>4</v>
      </c>
      <c r="N29" s="16">
        <f t="shared" si="15"/>
        <v>2.2999999999999972</v>
      </c>
      <c r="O29" s="16">
        <f t="shared" si="12"/>
        <v>1.7999999999999972</v>
      </c>
      <c r="P29" s="17"/>
      <c r="Q29" s="16">
        <v>9.1999999999999993</v>
      </c>
      <c r="R29" s="16">
        <v>7.4</v>
      </c>
      <c r="S29" s="16">
        <v>7.3</v>
      </c>
      <c r="T29" s="16">
        <v>7.3</v>
      </c>
      <c r="U29" s="17"/>
      <c r="V29" s="16">
        <f t="shared" ref="V29:X31" si="16">R29-Q29</f>
        <v>-1.7999999999999989</v>
      </c>
      <c r="W29" s="16">
        <f t="shared" si="16"/>
        <v>-0.10000000000000053</v>
      </c>
      <c r="X29" s="16">
        <f t="shared" si="16"/>
        <v>0</v>
      </c>
      <c r="Y29" s="17"/>
      <c r="Z29" s="16">
        <v>15.2</v>
      </c>
      <c r="AA29" s="16">
        <v>11.1</v>
      </c>
      <c r="AB29" s="16">
        <v>10.199999999999999</v>
      </c>
      <c r="AC29" s="16">
        <v>9.5</v>
      </c>
      <c r="AD29" s="17"/>
      <c r="AE29" s="16">
        <f t="shared" ref="AE29:AG31" si="17">AA29-Z29</f>
        <v>-4.0999999999999996</v>
      </c>
      <c r="AF29" s="16">
        <f t="shared" si="17"/>
        <v>-0.90000000000000036</v>
      </c>
      <c r="AG29" s="16">
        <f t="shared" si="17"/>
        <v>-0.69999999999999929</v>
      </c>
      <c r="AH29" s="2"/>
      <c r="AI29" s="2"/>
    </row>
    <row r="30" spans="1:35" x14ac:dyDescent="0.2">
      <c r="A30" s="13" t="s">
        <v>18</v>
      </c>
      <c r="B30" s="16">
        <v>64.599999999999994</v>
      </c>
      <c r="C30" s="16">
        <v>67.7</v>
      </c>
      <c r="D30" s="16">
        <v>64.8</v>
      </c>
      <c r="E30" s="16">
        <v>70.3</v>
      </c>
      <c r="F30" s="16">
        <v>77.3</v>
      </c>
      <c r="G30" s="16">
        <v>77.8</v>
      </c>
      <c r="H30" s="16">
        <v>76.3</v>
      </c>
      <c r="I30" s="17"/>
      <c r="J30" s="16">
        <f t="shared" si="15"/>
        <v>3.1000000000000085</v>
      </c>
      <c r="K30" s="16">
        <f t="shared" si="15"/>
        <v>-2.9000000000000057</v>
      </c>
      <c r="L30" s="16">
        <f t="shared" si="15"/>
        <v>5.5</v>
      </c>
      <c r="M30" s="16">
        <f t="shared" si="15"/>
        <v>7</v>
      </c>
      <c r="N30" s="16">
        <f t="shared" si="15"/>
        <v>0.5</v>
      </c>
      <c r="O30" s="16">
        <f t="shared" si="12"/>
        <v>-1.5</v>
      </c>
      <c r="P30" s="17"/>
      <c r="Q30" s="16">
        <v>14.5</v>
      </c>
      <c r="R30" s="16">
        <v>11</v>
      </c>
      <c r="S30" s="16">
        <v>13.2</v>
      </c>
      <c r="T30" s="16">
        <v>10.5</v>
      </c>
      <c r="U30" s="17"/>
      <c r="V30" s="16">
        <f t="shared" si="16"/>
        <v>-3.5</v>
      </c>
      <c r="W30" s="16">
        <f t="shared" si="16"/>
        <v>2.1999999999999993</v>
      </c>
      <c r="X30" s="16">
        <f t="shared" si="16"/>
        <v>-2.6999999999999993</v>
      </c>
      <c r="Y30" s="17"/>
      <c r="Z30" s="16">
        <v>22.2</v>
      </c>
      <c r="AA30" s="16">
        <v>15.4</v>
      </c>
      <c r="AB30" s="16">
        <v>16.8</v>
      </c>
      <c r="AC30" s="16">
        <v>15.7</v>
      </c>
      <c r="AD30" s="17"/>
      <c r="AE30" s="16">
        <f t="shared" si="17"/>
        <v>-6.7999999999999989</v>
      </c>
      <c r="AF30" s="16">
        <f t="shared" si="17"/>
        <v>1.4000000000000004</v>
      </c>
      <c r="AG30" s="16">
        <f t="shared" si="17"/>
        <v>-1.1000000000000014</v>
      </c>
      <c r="AH30" s="2"/>
      <c r="AI30" s="2"/>
    </row>
    <row r="31" spans="1:35" x14ac:dyDescent="0.2">
      <c r="A31" s="13" t="s">
        <v>19</v>
      </c>
      <c r="B31" s="16">
        <v>41.2</v>
      </c>
      <c r="C31" s="16">
        <v>46.1</v>
      </c>
      <c r="D31" s="16">
        <v>45.5</v>
      </c>
      <c r="E31" s="16">
        <v>52.4</v>
      </c>
      <c r="F31" s="16">
        <v>61.6</v>
      </c>
      <c r="G31" s="16">
        <v>60</v>
      </c>
      <c r="H31" s="16">
        <v>64.599999999999994</v>
      </c>
      <c r="I31" s="17"/>
      <c r="J31" s="16">
        <f t="shared" si="15"/>
        <v>4.8999999999999986</v>
      </c>
      <c r="K31" s="16">
        <f t="shared" si="15"/>
        <v>-0.60000000000000142</v>
      </c>
      <c r="L31" s="16">
        <f t="shared" si="15"/>
        <v>6.8999999999999986</v>
      </c>
      <c r="M31" s="16">
        <f t="shared" si="15"/>
        <v>9.2000000000000028</v>
      </c>
      <c r="N31" s="16">
        <f t="shared" si="15"/>
        <v>-1.6000000000000014</v>
      </c>
      <c r="O31" s="16">
        <f t="shared" si="12"/>
        <v>4.5999999999999943</v>
      </c>
      <c r="P31" s="17"/>
      <c r="Q31" s="16">
        <v>26.2</v>
      </c>
      <c r="R31" s="16">
        <v>20.5</v>
      </c>
      <c r="S31" s="16">
        <v>23.9</v>
      </c>
      <c r="T31" s="16">
        <v>17.600000000000001</v>
      </c>
      <c r="U31" s="17"/>
      <c r="V31" s="16">
        <f t="shared" si="16"/>
        <v>-5.6999999999999993</v>
      </c>
      <c r="W31" s="16">
        <f t="shared" si="16"/>
        <v>3.3999999999999986</v>
      </c>
      <c r="X31" s="16">
        <f t="shared" si="16"/>
        <v>-6.2999999999999972</v>
      </c>
      <c r="Y31" s="17"/>
      <c r="Z31" s="16">
        <v>39.6</v>
      </c>
      <c r="AA31" s="16">
        <v>31.8</v>
      </c>
      <c r="AB31" s="16">
        <v>35.5</v>
      </c>
      <c r="AC31" s="16">
        <v>30.5</v>
      </c>
      <c r="AD31" s="17"/>
      <c r="AE31" s="16">
        <f t="shared" si="17"/>
        <v>-7.8000000000000007</v>
      </c>
      <c r="AF31" s="16">
        <f t="shared" si="17"/>
        <v>3.6999999999999993</v>
      </c>
      <c r="AG31" s="16">
        <f t="shared" si="17"/>
        <v>-5</v>
      </c>
      <c r="AH31" s="28"/>
      <c r="AI31" s="28"/>
    </row>
    <row r="32" spans="1:35" x14ac:dyDescent="0.2">
      <c r="A32" s="13"/>
      <c r="B32" s="16"/>
      <c r="C32" s="16"/>
      <c r="D32" s="16"/>
      <c r="E32" s="16"/>
      <c r="F32" s="16"/>
      <c r="G32" s="16"/>
      <c r="H32" s="16"/>
      <c r="I32" s="31"/>
      <c r="J32" s="21"/>
      <c r="K32" s="21"/>
      <c r="L32" s="21"/>
      <c r="M32" s="21"/>
      <c r="N32" s="21"/>
      <c r="O32" s="16"/>
      <c r="P32" s="31"/>
      <c r="Q32" s="16"/>
      <c r="R32" s="16"/>
      <c r="S32" s="16"/>
      <c r="T32" s="16"/>
      <c r="U32" s="24"/>
      <c r="V32" s="16"/>
      <c r="W32" s="16"/>
      <c r="X32" s="16"/>
      <c r="Y32" s="17"/>
      <c r="Z32" s="16"/>
      <c r="AA32" s="16"/>
      <c r="AB32" s="16"/>
      <c r="AC32" s="16"/>
      <c r="AD32" s="24"/>
      <c r="AE32" s="16"/>
      <c r="AF32" s="16"/>
      <c r="AG32" s="16"/>
      <c r="AH32" s="28"/>
      <c r="AI32" s="28"/>
    </row>
    <row r="33" spans="1:35" x14ac:dyDescent="0.2">
      <c r="A33" s="32" t="s">
        <v>20</v>
      </c>
      <c r="B33" s="19">
        <v>62.9</v>
      </c>
      <c r="C33" s="19">
        <v>65.099999999999994</v>
      </c>
      <c r="D33" s="19">
        <v>63.8</v>
      </c>
      <c r="E33" s="19">
        <v>67.5</v>
      </c>
      <c r="F33" s="19">
        <v>74.599999999999994</v>
      </c>
      <c r="G33" s="19">
        <v>75.400000000000006</v>
      </c>
      <c r="H33" s="19">
        <v>77.3</v>
      </c>
      <c r="I33" s="20"/>
      <c r="J33" s="19">
        <f>C33-B33</f>
        <v>2.1999999999999957</v>
      </c>
      <c r="K33" s="19">
        <f>D33-C33</f>
        <v>-1.2999999999999972</v>
      </c>
      <c r="L33" s="19">
        <f>E33-D33</f>
        <v>3.7000000000000028</v>
      </c>
      <c r="M33" s="19">
        <f>F33-E33</f>
        <v>7.0999999999999943</v>
      </c>
      <c r="N33" s="19">
        <f>G33-F33</f>
        <v>0.80000000000001137</v>
      </c>
      <c r="O33" s="19">
        <f t="shared" si="12"/>
        <v>1.8999999999999915</v>
      </c>
      <c r="P33" s="20"/>
      <c r="Q33" s="19">
        <v>15.6</v>
      </c>
      <c r="R33" s="19">
        <v>12</v>
      </c>
      <c r="S33" s="19">
        <v>13.3</v>
      </c>
      <c r="T33" s="19">
        <v>10.9</v>
      </c>
      <c r="U33" s="20"/>
      <c r="V33" s="19">
        <f>R33-Q33</f>
        <v>-3.5999999999999996</v>
      </c>
      <c r="W33" s="19">
        <f>S33-R33</f>
        <v>1.3000000000000007</v>
      </c>
      <c r="X33" s="19">
        <f>T33-S33</f>
        <v>-2.4000000000000004</v>
      </c>
      <c r="Y33" s="20"/>
      <c r="Z33" s="19">
        <v>24.9</v>
      </c>
      <c r="AA33" s="19">
        <v>18.399999999999999</v>
      </c>
      <c r="AB33" s="19">
        <v>19.399999999999999</v>
      </c>
      <c r="AC33" s="19">
        <v>17.3</v>
      </c>
      <c r="AD33" s="20"/>
      <c r="AE33" s="19">
        <f>AA33-Z33</f>
        <v>-6.5</v>
      </c>
      <c r="AF33" s="19">
        <f>AB33-AA33</f>
        <v>1</v>
      </c>
      <c r="AG33" s="19">
        <f>AC33-AB33</f>
        <v>-2.0999999999999979</v>
      </c>
      <c r="AH33" s="28"/>
      <c r="AI33" s="28"/>
    </row>
    <row r="34" spans="1:35" x14ac:dyDescent="0.2">
      <c r="A34" s="33"/>
      <c r="B34" s="34"/>
      <c r="C34" s="34"/>
      <c r="D34" s="34"/>
      <c r="E34" s="34"/>
      <c r="F34" s="34"/>
      <c r="G34" s="34"/>
      <c r="H34" s="34"/>
      <c r="I34" s="35"/>
      <c r="J34" s="34"/>
      <c r="K34" s="34"/>
      <c r="L34" s="34"/>
      <c r="M34" s="34"/>
      <c r="N34" s="34"/>
      <c r="O34" s="34"/>
      <c r="P34" s="35"/>
      <c r="Q34" s="34"/>
      <c r="R34" s="34"/>
      <c r="S34" s="34"/>
      <c r="T34" s="34"/>
      <c r="U34" s="35"/>
      <c r="V34" s="34"/>
      <c r="W34" s="34"/>
      <c r="X34" s="34"/>
      <c r="Y34" s="35"/>
      <c r="Z34" s="34"/>
      <c r="AA34" s="34"/>
      <c r="AB34" s="34"/>
      <c r="AC34" s="34"/>
      <c r="AD34" s="35"/>
      <c r="AE34" s="34"/>
      <c r="AF34" s="36"/>
      <c r="AG34" s="30"/>
      <c r="AH34" s="28"/>
      <c r="AI34" s="28"/>
    </row>
    <row r="35" spans="1:35" x14ac:dyDescent="0.2">
      <c r="A35" s="37" t="s">
        <v>23</v>
      </c>
      <c r="B35" s="29"/>
      <c r="C35" s="29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8"/>
      <c r="Q35" s="29"/>
      <c r="R35" s="21"/>
      <c r="S35" s="21"/>
      <c r="T35" s="29"/>
      <c r="U35" s="28"/>
      <c r="V35" s="29"/>
      <c r="W35" s="29"/>
      <c r="X35" s="29"/>
      <c r="Y35" s="28"/>
      <c r="Z35" s="16"/>
      <c r="AA35" s="21"/>
      <c r="AB35" s="21"/>
      <c r="AC35" s="29"/>
      <c r="AD35" s="28"/>
      <c r="AE35" s="29"/>
      <c r="AF35" s="29"/>
      <c r="AG35" s="28"/>
      <c r="AH35" s="28"/>
      <c r="AI35" s="28"/>
    </row>
    <row r="36" spans="1:35" x14ac:dyDescent="0.2">
      <c r="A36" s="2"/>
      <c r="B36" s="25"/>
      <c r="C36" s="25"/>
      <c r="D36" s="25"/>
      <c r="E36" s="21"/>
      <c r="F36" s="21"/>
      <c r="G36" s="21"/>
      <c r="H36" s="21"/>
      <c r="I36" s="2"/>
      <c r="J36" s="25"/>
      <c r="K36" s="25"/>
      <c r="L36" s="25"/>
      <c r="M36" s="25"/>
      <c r="N36" s="25"/>
      <c r="O36" s="25"/>
      <c r="P36" s="2"/>
      <c r="Q36" s="21"/>
      <c r="R36" s="21"/>
      <c r="S36" s="21"/>
      <c r="T36" s="21"/>
      <c r="U36" s="38"/>
      <c r="V36" s="21"/>
      <c r="W36" s="21"/>
      <c r="X36" s="21"/>
      <c r="Y36" s="38"/>
      <c r="Z36" s="21"/>
      <c r="AA36" s="21"/>
      <c r="AB36" s="21"/>
      <c r="AC36" s="21"/>
      <c r="AD36" s="38"/>
      <c r="AE36" s="21"/>
      <c r="AF36" s="25"/>
      <c r="AG36" s="2"/>
      <c r="AH36" s="2"/>
      <c r="AI36" s="2"/>
    </row>
    <row r="37" spans="1:35" x14ac:dyDescent="0.2">
      <c r="A37" s="2"/>
      <c r="B37" s="25"/>
      <c r="C37" s="25"/>
      <c r="D37" s="25"/>
      <c r="E37" s="21"/>
      <c r="F37" s="21"/>
      <c r="G37" s="21"/>
      <c r="H37" s="21"/>
      <c r="I37" s="2"/>
      <c r="J37" s="25"/>
      <c r="K37" s="25"/>
      <c r="L37" s="25"/>
      <c r="M37" s="25"/>
      <c r="N37" s="25"/>
      <c r="O37" s="25"/>
      <c r="P37" s="2"/>
      <c r="Q37" s="21"/>
      <c r="R37" s="21"/>
      <c r="S37" s="21"/>
      <c r="T37" s="21"/>
      <c r="U37" s="38"/>
      <c r="V37" s="21"/>
      <c r="W37" s="21"/>
      <c r="X37" s="21"/>
      <c r="Y37" s="38"/>
      <c r="Z37" s="21"/>
      <c r="AA37" s="21"/>
      <c r="AB37" s="21"/>
      <c r="AC37" s="21"/>
      <c r="AD37" s="38"/>
      <c r="AE37" s="21"/>
      <c r="AF37" s="25"/>
      <c r="AG37" s="2"/>
      <c r="AH37" s="2"/>
      <c r="AI37" s="2"/>
    </row>
    <row r="38" spans="1:35" x14ac:dyDescent="0.2">
      <c r="A38" s="2"/>
      <c r="B38" s="25"/>
      <c r="C38" s="25"/>
      <c r="D38" s="25"/>
      <c r="E38" s="25"/>
      <c r="F38" s="25"/>
      <c r="G38" s="25"/>
      <c r="H38" s="25"/>
      <c r="I38" s="2"/>
      <c r="J38" s="25"/>
      <c r="K38" s="25"/>
      <c r="L38" s="25"/>
      <c r="M38" s="25"/>
      <c r="N38" s="25"/>
      <c r="O38" s="25"/>
      <c r="P38" s="2"/>
      <c r="Q38" s="25"/>
      <c r="R38" s="25"/>
      <c r="S38" s="25"/>
      <c r="T38" s="25"/>
      <c r="U38" s="2"/>
      <c r="V38" s="25"/>
      <c r="W38" s="25"/>
      <c r="X38" s="25"/>
      <c r="Y38" s="2"/>
      <c r="Z38" s="25"/>
      <c r="AA38" s="25"/>
      <c r="AB38" s="25"/>
      <c r="AC38" s="25"/>
      <c r="AD38" s="2"/>
      <c r="AE38" s="25"/>
      <c r="AF38" s="25"/>
      <c r="AG38" s="2"/>
      <c r="AH38" s="2"/>
      <c r="AI38" s="2"/>
    </row>
    <row r="39" spans="1:35" x14ac:dyDescent="0.2">
      <c r="A39" s="2"/>
      <c r="B39" s="25"/>
      <c r="C39" s="25"/>
      <c r="D39" s="25"/>
      <c r="E39" s="25"/>
      <c r="F39" s="25"/>
      <c r="G39" s="25"/>
      <c r="H39" s="25"/>
      <c r="I39" s="2"/>
      <c r="J39" s="25"/>
      <c r="K39" s="25"/>
      <c r="L39" s="25"/>
      <c r="M39" s="25"/>
      <c r="N39" s="25"/>
      <c r="O39" s="25"/>
      <c r="P39" s="2"/>
      <c r="Q39" s="25"/>
      <c r="R39" s="25"/>
      <c r="S39" s="25"/>
      <c r="T39" s="25"/>
      <c r="U39" s="2"/>
      <c r="V39" s="25"/>
      <c r="W39" s="25"/>
      <c r="X39" s="25"/>
      <c r="Y39" s="2"/>
      <c r="Z39" s="25"/>
      <c r="AA39" s="25"/>
      <c r="AB39" s="25"/>
      <c r="AC39" s="25"/>
      <c r="AD39" s="2"/>
      <c r="AE39" s="25"/>
      <c r="AF39" s="25"/>
      <c r="AG39" s="2"/>
      <c r="AH39" s="2"/>
      <c r="AI39" s="2"/>
    </row>
    <row r="40" spans="1:35" x14ac:dyDescent="0.2">
      <c r="A40" s="2"/>
      <c r="B40" s="25"/>
      <c r="C40" s="25"/>
      <c r="D40" s="25"/>
      <c r="E40" s="25"/>
      <c r="F40" s="25"/>
      <c r="G40" s="25"/>
      <c r="H40" s="25"/>
      <c r="I40" s="2"/>
      <c r="J40" s="25"/>
      <c r="K40" s="25"/>
      <c r="L40" s="25"/>
      <c r="M40" s="25"/>
      <c r="N40" s="25"/>
      <c r="O40" s="25"/>
      <c r="P40" s="2"/>
      <c r="Q40" s="25"/>
      <c r="R40" s="25"/>
      <c r="S40" s="25"/>
      <c r="T40" s="25"/>
      <c r="U40" s="2"/>
      <c r="V40" s="25"/>
      <c r="W40" s="25"/>
      <c r="X40" s="25"/>
      <c r="Y40" s="2"/>
      <c r="Z40" s="25"/>
      <c r="AA40" s="25"/>
      <c r="AB40" s="25"/>
      <c r="AC40" s="25"/>
      <c r="AD40" s="2"/>
      <c r="AE40" s="25"/>
      <c r="AF40" s="25"/>
      <c r="AG40" s="2"/>
      <c r="AH40" s="2"/>
      <c r="AI40" s="2"/>
    </row>
  </sheetData>
  <mergeCells count="14">
    <mergeCell ref="AE3:AG3"/>
    <mergeCell ref="B5:AF5"/>
    <mergeCell ref="B15:AF15"/>
    <mergeCell ref="B25:AF25"/>
    <mergeCell ref="A1:AG1"/>
    <mergeCell ref="A2:A4"/>
    <mergeCell ref="B2:O2"/>
    <mergeCell ref="Q2:X2"/>
    <mergeCell ref="Z2:AG2"/>
    <mergeCell ref="B3:H3"/>
    <mergeCell ref="J3:O3"/>
    <mergeCell ref="Q3:T3"/>
    <mergeCell ref="V3:X3"/>
    <mergeCell ref="Z3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Gaia Zanirato - gaia.zanirato2@studio.unibo.it</dc:creator>
  <cp:lastModifiedBy>Gaia Zanirato - gaia.zanirato2@studio.unibo.it</cp:lastModifiedBy>
  <dcterms:created xsi:type="dcterms:W3CDTF">2026-04-23T09:15:20Z</dcterms:created>
  <dcterms:modified xsi:type="dcterms:W3CDTF">2026-04-23T09:15:52Z</dcterms:modified>
</cp:coreProperties>
</file>